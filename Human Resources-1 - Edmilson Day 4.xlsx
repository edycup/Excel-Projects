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justit831.sharepoint.com/sites/msteams_7a877e/Class Materials/Week 1 Introduction to Data Analysis and Excel/Day 4/"/>
    </mc:Choice>
  </mc:AlternateContent>
  <xr:revisionPtr revIDLastSave="328" documentId="8_{244C8E35-DAB8-414E-8848-0040370C00FC}" xr6:coauthVersionLast="47" xr6:coauthVersionMax="47" xr10:uidLastSave="{711CDAF0-AFEB-401E-8BB1-C851F7879F95}"/>
  <bookViews>
    <workbookView xWindow="-28920" yWindow="-1530" windowWidth="29040" windowHeight="16440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26" i="2"/>
  <c r="E25" i="2"/>
  <c r="C26" i="2"/>
  <c r="E28" i="3" a="1"/>
  <c r="E28" i="3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  <c r="P2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<sst xmlns="http://schemas.openxmlformats.org/spreadsheetml/2006/main" count="110" uniqueCount="52">
  <si>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</si>
  <si>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</si>
  <si>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</si>
  <si>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</si>
  <si>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</si>
  <si>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</si>
  <si>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</si>
  <si>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</si>
  <si>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</si>
  <si>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</si>
  <si>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</si>
  <si>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</si>
  <si>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</si>
  <si>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</si>
  <si>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</si>
  <si>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</si>
  <si>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</si>
  <si>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</si>
  <si>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</si>
  <si>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</si>
  <si>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</si>
  <si>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</si>
  <si>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</si>
  <si>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</si>
  <si>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</si>
  <si>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</si>
  <si>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</si>
  <si>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</si>
  <si>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Total Net pay</t>
  </si>
  <si>
    <t>Net Pay</t>
  </si>
  <si>
    <t>Total Net Pay</t>
  </si>
  <si>
    <t>TODAY</t>
  </si>
  <si>
    <t>August</t>
  </si>
  <si>
    <t>WEEKDAY(TODAY())</t>
  </si>
  <si>
    <t>September</t>
  </si>
  <si>
    <t>WEEKNOUM(TODAY())</t>
  </si>
  <si>
    <t>October</t>
  </si>
  <si>
    <t>November</t>
  </si>
  <si>
    <t>Headcount &amp; Salaries</t>
  </si>
  <si>
    <t>Link to HMRC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</si>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</sst>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4" fontId="0" fillId="0" borderId="0" xfId="1" applyNumberFormat="1" applyFont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43" fontId="6" fillId="0" borderId="5" xfId="8" applyNumberForma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0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uidance/sign-in-to-your-hmrc-business-tax-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8" workbookViewId="0">
      <selection activeCell="E28" sqref="E28"/>
    </sheetView>
  </sheetViews>
  <sheetFormatPr defaultRowHeight="15"/>
  <cols>
    <col min="1" max="1" width="16.7109375" bestFit="1" customWidth="1"/>
    <col min="2" max="2" width="14.140625" bestFit="1" customWidth="1"/>
    <col min="3" max="3" width="11.42578125" bestFit="1" customWidth="1"/>
    <col min="4" max="4" width="21.28515625" bestFit="1" customWidth="1"/>
    <col min="5" max="5" width="26.42578125" customWidth="1"/>
    <col min="6" max="11" width="8.140625" bestFit="1" customWidth="1"/>
    <col min="12" max="14" width="7.7109375" customWidth="1"/>
    <col min="15" max="15" width="9.7109375" bestFit="1" customWidth="1"/>
    <col min="16" max="16" width="12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9" t="s">
        <v>1</v>
      </c>
      <c r="B3" s="9"/>
    </row>
    <row r="4" spans="1:16">
      <c r="A4" s="2" t="s">
        <v>2</v>
      </c>
      <c r="B4" s="10">
        <v>0.32</v>
      </c>
    </row>
    <row r="5" spans="1:16">
      <c r="A5" s="2" t="s">
        <v>3</v>
      </c>
      <c r="B5" s="10">
        <v>0.08</v>
      </c>
    </row>
    <row r="6" spans="1:16">
      <c r="A6" s="2" t="s">
        <v>4</v>
      </c>
      <c r="B6" s="10">
        <v>0.05</v>
      </c>
    </row>
    <row r="7" spans="1:16" ht="6.75" customHeight="1"/>
    <row r="8" spans="1:16" ht="96.75" customHeight="1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8" ht="15.75" thickBot="1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8" ht="15.75" thickTop="1"/>
    <row r="19" spans="1:18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8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8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8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  <c r="P22" t="s">
        <v>28</v>
      </c>
    </row>
    <row r="23" spans="1:18" ht="15.75" thickBot="1">
      <c r="A23" s="7" t="s">
        <v>29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  <c r="P23" s="20">
        <f>SUM(B23:O23)</f>
        <v>4111.0968990384617</v>
      </c>
      <c r="Q23" s="20"/>
      <c r="R23" s="20"/>
    </row>
    <row r="24" spans="1:18" ht="15.75" thickTop="1">
      <c r="B24" s="11"/>
      <c r="O24" s="20"/>
    </row>
    <row r="25" spans="1:18">
      <c r="A25" s="13"/>
      <c r="B25" s="14" t="s">
        <v>30</v>
      </c>
      <c r="C25" t="s">
        <v>0</v>
      </c>
      <c r="D25" t="s">
        <v>31</v>
      </c>
      <c r="E25" s="21">
        <f ca="1">TODAY()</f>
        <v>45995</v>
      </c>
    </row>
    <row r="26" spans="1:18">
      <c r="A26" t="s">
        <v>32</v>
      </c>
      <c r="B26" s="21"/>
      <c r="C26" s="25">
        <f>'Headcount &amp; Salaries'!C5</f>
        <v>26148</v>
      </c>
      <c r="D26" s="21" t="s">
        <v>33</v>
      </c>
      <c r="E26" s="25">
        <f ca="1">WEEKDAY(TODAY())</f>
        <v>5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>
      <c r="A27" t="s">
        <v>34</v>
      </c>
      <c r="D27" t="s">
        <v>35</v>
      </c>
      <c r="E27">
        <f ca="1">WEEKNUM(TODAY())</f>
        <v>49</v>
      </c>
    </row>
    <row r="28" spans="1:18">
      <c r="A28" t="s">
        <v>36</v>
      </c>
    </row>
    <row r="29" spans="1:18">
      <c r="A29" t="s">
        <v>37</v>
      </c>
    </row>
  </sheetData>
  <sheetProtection pivotTables="0"/>
  <protectedRanges>
    <protectedRange sqref="B12:O16" name="Manager"/>
  </protectedRanges>
  <dataValidations count="1">
    <dataValidation type="whole" allowBlank="1" showInputMessage="1" showErrorMessage="1" sqref="B26:B29" xr:uid="{F692F114-158F-409D-B1AD-8246338AAEDB}">
      <formula1>0</formula1>
      <formula2>1000000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E3" sqref="E3"/>
    </sheetView>
  </sheetViews>
  <sheetFormatPr defaultRowHeight="15"/>
  <cols>
    <col min="1" max="1" width="36.7109375" bestFit="1" customWidth="1"/>
    <col min="2" max="2" width="9.140625" bestFit="1" customWidth="1"/>
    <col min="3" max="3" width="10.85546875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38</v>
      </c>
      <c r="E1" s="19"/>
    </row>
    <row r="2" spans="1:10">
      <c r="E2" s="19" t="s">
        <v>39</v>
      </c>
    </row>
    <row r="3" spans="1:10" ht="17.25">
      <c r="A3" s="4" t="s">
        <v>40</v>
      </c>
      <c r="B3" s="4" t="s">
        <v>41</v>
      </c>
      <c r="C3" s="4" t="s">
        <v>42</v>
      </c>
      <c r="D3" s="4" t="s">
        <v>43</v>
      </c>
    </row>
    <row r="4" spans="1:10">
      <c r="A4" t="s">
        <v>5</v>
      </c>
      <c r="B4" t="s">
        <v>44</v>
      </c>
      <c r="C4" s="6">
        <v>37864</v>
      </c>
      <c r="D4" t="s">
        <v>45</v>
      </c>
      <c r="F4" s="22"/>
      <c r="G4" s="22"/>
      <c r="H4" s="22"/>
    </row>
    <row r="5" spans="1:10">
      <c r="A5" t="s">
        <v>6</v>
      </c>
      <c r="B5" t="s">
        <v>44</v>
      </c>
      <c r="C5" s="6">
        <v>26148</v>
      </c>
      <c r="D5" t="s">
        <v>46</v>
      </c>
      <c r="F5" s="22"/>
      <c r="G5" s="22"/>
      <c r="H5" s="22"/>
    </row>
    <row r="6" spans="1:10">
      <c r="A6" t="s">
        <v>7</v>
      </c>
      <c r="B6" t="s">
        <v>47</v>
      </c>
      <c r="C6" s="6">
        <v>26345</v>
      </c>
      <c r="D6" t="s">
        <v>48</v>
      </c>
      <c r="F6" s="22"/>
      <c r="G6" s="22"/>
      <c r="H6" s="22"/>
    </row>
    <row r="7" spans="1:10">
      <c r="A7" t="s">
        <v>8</v>
      </c>
      <c r="B7" t="s">
        <v>47</v>
      </c>
      <c r="C7" s="6">
        <v>23562</v>
      </c>
      <c r="D7" t="s">
        <v>45</v>
      </c>
    </row>
    <row r="8" spans="1:10">
      <c r="A8" t="s">
        <v>9</v>
      </c>
      <c r="B8" t="s">
        <v>44</v>
      </c>
      <c r="C8" s="6">
        <v>19888</v>
      </c>
      <c r="D8" t="s">
        <v>48</v>
      </c>
    </row>
    <row r="9" spans="1:10">
      <c r="A9" t="s">
        <v>10</v>
      </c>
      <c r="B9" t="s">
        <v>44</v>
      </c>
      <c r="C9" s="6">
        <v>32918</v>
      </c>
      <c r="D9" t="s">
        <v>46</v>
      </c>
      <c r="J9" s="21"/>
    </row>
    <row r="10" spans="1:10">
      <c r="A10" t="s">
        <v>11</v>
      </c>
      <c r="B10" t="s">
        <v>44</v>
      </c>
      <c r="C10" s="6">
        <v>18931</v>
      </c>
      <c r="D10" t="s">
        <v>45</v>
      </c>
      <c r="J10" s="21"/>
    </row>
    <row r="11" spans="1:10">
      <c r="A11" t="s">
        <v>12</v>
      </c>
      <c r="B11" t="s">
        <v>44</v>
      </c>
      <c r="C11" s="6">
        <v>32829</v>
      </c>
      <c r="D11" t="s">
        <v>45</v>
      </c>
      <c r="J11" s="23"/>
    </row>
    <row r="12" spans="1:10">
      <c r="A12" t="s">
        <v>13</v>
      </c>
      <c r="B12" t="s">
        <v>44</v>
      </c>
      <c r="C12" s="6">
        <v>38296</v>
      </c>
      <c r="D12" t="s">
        <v>46</v>
      </c>
    </row>
    <row r="13" spans="1:10">
      <c r="A13" t="s">
        <v>14</v>
      </c>
      <c r="B13" t="s">
        <v>47</v>
      </c>
      <c r="C13" s="6">
        <v>28554</v>
      </c>
      <c r="D13" t="s">
        <v>45</v>
      </c>
      <c r="J13" s="24"/>
    </row>
    <row r="14" spans="1:10">
      <c r="A14" t="s">
        <v>15</v>
      </c>
      <c r="B14" t="s">
        <v>44</v>
      </c>
      <c r="C14" s="6">
        <v>27368</v>
      </c>
      <c r="D14" t="s">
        <v>48</v>
      </c>
      <c r="J14" s="21"/>
    </row>
    <row r="15" spans="1:10">
      <c r="A15" t="s">
        <v>16</v>
      </c>
      <c r="B15" t="s">
        <v>47</v>
      </c>
      <c r="C15" s="6">
        <v>20850</v>
      </c>
      <c r="D15" t="s">
        <v>46</v>
      </c>
    </row>
    <row r="16" spans="1:10">
      <c r="A16" t="s">
        <v>17</v>
      </c>
      <c r="B16" t="s">
        <v>44</v>
      </c>
      <c r="C16" s="6">
        <v>19345</v>
      </c>
      <c r="D16" t="s">
        <v>46</v>
      </c>
    </row>
    <row r="17" spans="1:5">
      <c r="A17" t="s">
        <v>18</v>
      </c>
      <c r="B17" t="s">
        <v>47</v>
      </c>
      <c r="C17" s="6">
        <v>38158</v>
      </c>
      <c r="D17" t="s">
        <v>45</v>
      </c>
    </row>
    <row r="18" spans="1:5">
      <c r="A18" s="7" t="s">
        <v>26</v>
      </c>
      <c r="B18" s="7"/>
      <c r="C18" s="8">
        <f>SUM(C4:C17)</f>
        <v>391056</v>
      </c>
      <c r="D18" s="7"/>
    </row>
    <row r="20" spans="1:5">
      <c r="A20" s="3" t="s">
        <v>43</v>
      </c>
      <c r="B20" s="3" t="s">
        <v>42</v>
      </c>
      <c r="C20" s="3" t="s">
        <v>49</v>
      </c>
      <c r="E20" s="3" t="s">
        <v>43</v>
      </c>
    </row>
    <row r="21" spans="1:5">
      <c r="A21" t="s">
        <v>45</v>
      </c>
      <c r="B21" s="6">
        <f>SUMIF($D$4:$D$17,A21,$C$4:$C$17)</f>
        <v>179898</v>
      </c>
      <c r="C21">
        <f>COUNTIF($D$4:$D$17,A21)</f>
        <v>6</v>
      </c>
      <c r="E21" s="3" t="s">
        <v>42</v>
      </c>
    </row>
    <row r="22" spans="1:5">
      <c r="A22" t="s">
        <v>46</v>
      </c>
      <c r="B22" s="6">
        <f t="shared" ref="B22:B23" si="0">SUMIF($D$4:$D$17,A22,$C$4:$C$17)</f>
        <v>137557</v>
      </c>
      <c r="C22">
        <f t="shared" ref="C22:C23" si="1">COUNTIF($D$4:$D$17,A22)</f>
        <v>5</v>
      </c>
      <c r="E22" s="3" t="s">
        <v>49</v>
      </c>
    </row>
    <row r="23" spans="1:5">
      <c r="A23" t="s">
        <v>48</v>
      </c>
      <c r="B23" s="6">
        <f t="shared" si="0"/>
        <v>73601</v>
      </c>
      <c r="C23">
        <f t="shared" si="1"/>
        <v>3</v>
      </c>
    </row>
    <row r="24" spans="1:5">
      <c r="A24" s="7" t="s">
        <v>50</v>
      </c>
      <c r="B24" s="8">
        <f>SUM(B21:B23)</f>
        <v>391056</v>
      </c>
      <c r="C24" s="8">
        <f>SUM(C21:C23)</f>
        <v>14</v>
      </c>
      <c r="E24" s="3" t="s">
        <v>51</v>
      </c>
    </row>
    <row r="25" spans="1:5">
      <c r="E25" s="3" t="s">
        <v>42</v>
      </c>
    </row>
    <row r="26" spans="1:5">
      <c r="A26" s="3" t="s">
        <v>51</v>
      </c>
      <c r="B26" s="3" t="s">
        <v>42</v>
      </c>
      <c r="C26" s="3" t="s">
        <v>49</v>
      </c>
      <c r="E26" s="3" t="s">
        <v>49</v>
      </c>
    </row>
    <row r="27" spans="1:5">
      <c r="A27" t="s">
        <v>44</v>
      </c>
      <c r="B27" s="6">
        <f>SUMIF($B$4:$B$17,A27,$C$4:$C$17)</f>
        <v>253587</v>
      </c>
      <c r="C27">
        <f>COUNTIF(B4:B17,A27)</f>
        <v>9</v>
      </c>
    </row>
    <row r="28" spans="1:5">
      <c r="A28" t="s">
        <v>47</v>
      </c>
      <c r="B28" s="6">
        <f>SUMIF($B$4:$B$17,A28,$C$4:$C$17)</f>
        <v>137469</v>
      </c>
      <c r="C28">
        <f>COUNTIF(B5:B17,A28)</f>
        <v>5</v>
      </c>
      <c r="E28" t="str" cm="1">
        <f t="array" ref="E28:E30">TRANSPOSE(A20:C20)</f>
        <v>Department</v>
      </c>
    </row>
    <row r="29" spans="1:5">
      <c r="A29" s="7" t="s">
        <v>50</v>
      </c>
      <c r="B29" s="8">
        <f>SUM(B27:B28)</f>
        <v>391056</v>
      </c>
      <c r="C29" s="8">
        <f>SUM(C27:C28)</f>
        <v>14</v>
      </c>
      <c r="E29" t="str">
        <v>Salary</v>
      </c>
    </row>
    <row r="30" spans="1:5">
      <c r="E30" t="str">
        <v>Headcount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hyperlinks>
    <hyperlink ref="E2" r:id="rId1" xr:uid="{5D548A3E-75FB-4183-BA74-A8A25F2D543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7" ma:contentTypeDescription="Create a new document." ma:contentTypeScope="" ma:versionID="034d7ab79e56a3ea9de55b4b6ba55a06">
  <xsd:schema xmlns:xsd="http://www.w3.org/2001/XMLSchema" xmlns:xs="http://www.w3.org/2001/XMLSchema" xmlns:p="http://schemas.microsoft.com/office/2006/metadata/properties" xmlns:ns2="a1a20f74-fed7-4cc8-9735-6877df4cb2a6" targetNamespace="http://schemas.microsoft.com/office/2006/metadata/properties" ma:root="true" ma:fieldsID="8f9edb59fce8d1feff3bd5a52d5ae202" ns2:_="">
    <xsd:import namespace="a1a20f74-fed7-4cc8-9735-6877df4cb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0A631991-3C80-4C10-804A-19228AF03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Edmilson Fernandes</cp:lastModifiedBy>
  <cp:revision/>
  <dcterms:created xsi:type="dcterms:W3CDTF">2009-08-25T13:44:58Z</dcterms:created>
  <dcterms:modified xsi:type="dcterms:W3CDTF">2025-12-04T13:48:41Z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</Properties>
</file>